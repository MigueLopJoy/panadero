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ción" sheetId="1" r:id="rId1"/>
    <sheet name="Masa base" sheetId="2" r:id="rId2"/>
    <sheet name="Elaboraciones" sheetId="3" r:id="rId3"/>
    <sheet name="Masa final base" sheetId="4" r:id="rId4"/>
    <sheet name="Reparto" sheetId="5" r:id="rId5"/>
    <sheet name="Fórmulas" sheetId="6" r:id="rId6"/>
    <sheet name="Ingredientes totales" sheetId="7" r:id="rId7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56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2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42" customWidth="1"/>
    <col min="3" max="3" width="16" customWidth="1"/>
    <col min="4" max="4" width="16" customWidth="1"/>
    <col min="5" max="5" width="24" customWidth="1"/>
    <col min="6" max="6" width="20" customWidth="1"/>
    <col min="7" max="7" width="20" customWidth="1"/>
    <col min="8" max="8" width="20" customWidth="1"/>
    <col min="9" max="9" width="13" customWidth="1"/>
  </cols>
  <sheetData>
    <row r="1" ht="26" customHeight="1">
      <c r="A1" s="1" t="inlineStr">
        <is>
          <t xml:space="preserve">PLAN DE PRODUCCIÓN · Masa base de trigo blanco</t>
        </is>
      </c>
    </row>
    <row r="2">
      <c r="A2" s="2" t="inlineStr">
        <is>
          <t xml:space="preserve">Variante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Masa final (g)</t>
        </is>
      </c>
      <c r="E2" s="2" t="inlineStr">
        <is>
          <t xml:space="preserve">Harina equivalente (g)</t>
        </is>
      </c>
      <c r="F2" s="2" t="inlineStr">
        <is>
          <t xml:space="preserve">Masa base (g)</t>
        </is>
      </c>
      <c r="G2" s="2" t="inlineStr">
        <is>
          <t xml:space="preserve">Adiciones (g)</t>
        </is>
      </c>
      <c r="H2" s="2" t="inlineStr">
        <is>
          <t xml:space="preserve">Factor base</t>
        </is>
      </c>
      <c r="I2" s="2" t="inlineStr">
        <is>
          <t xml:space="preserve">Adición (%)</t>
        </is>
      </c>
    </row>
    <row r="3">
      <c r="A3" s="0" t="inlineStr">
        <is>
          <t xml:space="preserve">Hogaza blanca</t>
        </is>
      </c>
      <c r="B3" s="3">
        <v>2</v>
      </c>
      <c r="C3" s="3">
        <v>1000</v>
      </c>
      <c r="D3" s="3">
        <f>B3*C3</f>
        <v>2000</v>
      </c>
      <c r="E3" s="3">
        <f>D3/(H3+I3/100)</f>
        <v>1156.0693641618495</v>
      </c>
      <c r="F3" s="3">
        <f>E3*H3</f>
        <v>1942.1965317919073</v>
      </c>
      <c r="G3" s="3">
        <f>D3-F3</f>
        <v>57.803468208092475</v>
      </c>
      <c r="H3" s="3">
        <v>1.6800000000000002</v>
      </c>
      <c r="I3" s="3">
        <v>5</v>
      </c>
    </row>
    <row r="4">
      <c r="A4" s="0" t="inlineStr">
        <is>
          <t xml:space="preserve">Chapata</t>
        </is>
      </c>
      <c r="B4" s="3">
        <v>2</v>
      </c>
      <c r="C4" s="3">
        <v>700</v>
      </c>
      <c r="D4" s="3">
        <f>B4*C4</f>
        <v>1400</v>
      </c>
      <c r="E4" s="3">
        <f>D4/(H4+I4/100)</f>
        <v>786.5168539325841</v>
      </c>
      <c r="F4" s="3">
        <f>E4*H4</f>
        <v>1321.3483146067415</v>
      </c>
      <c r="G4" s="3">
        <f>D4-F4</f>
        <v>78.65168539325842</v>
      </c>
      <c r="H4" s="3">
        <v>1.6800000000000002</v>
      </c>
      <c r="I4" s="3">
        <v>10</v>
      </c>
    </row>
    <row r="5">
      <c r="A5" s="0" t="inlineStr">
        <is>
          <t xml:space="preserve">Pan de semillas</t>
        </is>
      </c>
      <c r="B5" s="3">
        <v>4</v>
      </c>
      <c r="C5" s="3">
        <v>1000</v>
      </c>
      <c r="D5" s="3">
        <f>B5*C5</f>
        <v>4000</v>
      </c>
      <c r="E5" s="3">
        <f>D5/(H5+I5/100)</f>
        <v>2127.659574468085</v>
      </c>
      <c r="F5" s="3">
        <f>E5*H5</f>
        <v>3574.468085106383</v>
      </c>
      <c r="G5" s="3">
        <f>D5-F5</f>
        <v>425.531914893617</v>
      </c>
      <c r="H5" s="3">
        <v>1.6800000000000002</v>
      </c>
      <c r="I5" s="3">
        <v>20</v>
      </c>
    </row>
    <row r="6">
      <c r="A6" s="0" t="inlineStr">
        <is>
          <t xml:space="preserve">TOTAL PRODUCCIÓN</t>
        </is>
      </c>
      <c r="D6" s="3">
        <f>SUM(D3:D5)</f>
        <v>7400</v>
      </c>
      <c r="F6" s="3">
        <f>SUM(F3:F5)</f>
        <v>6838.012931505032</v>
      </c>
      <c r="G6" s="3">
        <f>SUM(G3:G5)</f>
        <v>561.9870684949678</v>
      </c>
    </row>
    <row r="7">
      <c r="A7" s="0" t="inlineStr">
        <is>
          <t xml:space="preserve">Masa base extra sin asignar (g)</t>
        </is>
      </c>
      <c r="F7" s="3">
        <v>0</v>
      </c>
    </row>
    <row r="8">
      <c r="A8" s="0" t="inlineStr">
        <is>
          <t xml:space="preserve">MASA BASE TOTAL A PREPARAR (g)</t>
        </is>
      </c>
      <c r="F8" s="3">
        <f>F6+F7</f>
        <v>6838.012931505032</v>
      </c>
    </row>
    <row r="9">
      <c r="A9" s="0" t="inlineStr">
        <is>
          <t xml:space="preserve">Información</t>
        </is>
      </c>
      <c r="B9" s="0" t="inlineStr">
        <is>
          <t xml:space="preserve">Pueden editarse las cantidades de la hoja Producción. Las hojas de desglose son una fotografía del cálculo al exportar.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9" customWidth="1"/>
    <col min="3" max="3" width="16" customWidth="1"/>
    <col min="4" max="4" width="20" customWidth="1"/>
    <col min="5" max="5" width="19" customWidth="1"/>
    <col min="6" max="6" width="22" customWidth="1"/>
  </cols>
  <sheetData>
    <row r="1" ht="26" customHeight="1">
      <c r="A1" s="1" t="inlineStr">
        <is>
          <t xml:space="preserve">INGREDIENTES DE LA MASA BASE · Masa base de trigo blanco</t>
        </is>
      </c>
    </row>
    <row r="2">
      <c r="A2" s="2" t="inlineStr">
        <is>
          <t xml:space="preserve">Ingrediente</t>
        </is>
      </c>
      <c r="B2" s="2" t="inlineStr">
        <is>
          <t xml:space="preserve">Tipo</t>
        </is>
      </c>
      <c r="C2" s="2" t="inlineStr">
        <is>
          <t xml:space="preserve">Porcentaje (%)</t>
        </is>
      </c>
      <c r="D2" s="2" t="inlineStr">
        <is>
          <t xml:space="preserve">Peso total (g)</t>
        </is>
      </c>
      <c r="E2" s="2" t="inlineStr">
        <is>
          <t xml:space="preserve">En masa final (g)</t>
        </is>
      </c>
      <c r="F2" s="2" t="inlineStr">
        <is>
          <t xml:space="preserve">En elaboraciones (g)</t>
        </is>
      </c>
    </row>
    <row r="3">
      <c r="A3" s="0" t="inlineStr">
        <is>
          <t xml:space="preserve">Harina de trigo</t>
        </is>
      </c>
      <c r="B3" s="0" t="inlineStr">
        <is>
          <t xml:space="preserve">Harina</t>
        </is>
      </c>
      <c r="C3" s="3">
        <v>100</v>
      </c>
      <c r="D3" s="3">
        <v>4070.2457925625185</v>
      </c>
      <c r="E3" s="3">
        <v>3256.196634050015</v>
      </c>
      <c r="F3" s="3">
        <v>814.0491585125038</v>
      </c>
    </row>
    <row r="4">
      <c r="A4" s="0" t="inlineStr">
        <is>
          <t xml:space="preserve">Agua</t>
        </is>
      </c>
      <c r="B4" s="0" t="inlineStr">
        <is>
          <t xml:space="preserve">Agua</t>
        </is>
      </c>
      <c r="C4" s="3">
        <v>65</v>
      </c>
      <c r="D4" s="3">
        <v>2645.6597651656366</v>
      </c>
      <c r="E4" s="3">
        <v>1831.610606653133</v>
      </c>
      <c r="F4" s="3">
        <v>814.0491585125038</v>
      </c>
    </row>
    <row r="5">
      <c r="A5" s="0" t="inlineStr">
        <is>
          <t xml:space="preserve">Sal</t>
        </is>
      </c>
      <c r="B5" s="0" t="inlineStr">
        <is>
          <t xml:space="preserve">Otro</t>
        </is>
      </c>
      <c r="C5" s="3">
        <v>2</v>
      </c>
      <c r="D5" s="3">
        <v>81.40491585125037</v>
      </c>
      <c r="E5" s="3">
        <v>81.40491585125037</v>
      </c>
      <c r="F5" s="3">
        <v>0</v>
      </c>
    </row>
    <row r="6">
      <c r="A6" s="0" t="inlineStr">
        <is>
          <t xml:space="preserve">Levadura</t>
        </is>
      </c>
      <c r="B6" s="0" t="inlineStr">
        <is>
          <t xml:space="preserve">Otro</t>
        </is>
      </c>
      <c r="C6" s="3">
        <v>1</v>
      </c>
      <c r="D6" s="3">
        <v>40.70245792562518</v>
      </c>
      <c r="E6" s="3">
        <v>40.70245792562518</v>
      </c>
      <c r="F6" s="3">
        <v>0</v>
      </c>
    </row>
    <row r="7">
      <c r="A7" s="0" t="inlineStr">
        <is>
          <t xml:space="preserve">TOTAL</t>
        </is>
      </c>
      <c r="D7" s="3">
        <v>6838.012931505032</v>
      </c>
      <c r="E7" s="3">
        <v>5209.914614480023</v>
      </c>
      <c r="F7" s="3">
        <v>1628.0983170250076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17" customWidth="1"/>
    <col min="3" max="3" width="9" customWidth="1"/>
    <col min="4" max="4" width="29" customWidth="1"/>
    <col min="5" max="5" width="20" customWidth="1"/>
  </cols>
  <sheetData>
    <row r="1" ht="26" customHeight="1">
      <c r="A1" s="1" t="inlineStr">
        <is>
          <t xml:space="preserve">ELABORACIONES PREVIAS · PRODUCCIÓN CONJUNTA</t>
        </is>
      </c>
    </row>
    <row r="2">
      <c r="A2" s="2" t="inlineStr">
        <is>
          <t xml:space="preserve">Elaboración</t>
        </is>
      </c>
      <c r="B2" s="2" t="inlineStr">
        <is>
          <t xml:space="preserve">Ingrediente</t>
        </is>
      </c>
      <c r="C2" s="2" t="inlineStr">
        <is>
          <t xml:space="preserve">Tipo</t>
        </is>
      </c>
      <c r="D2" s="2" t="inlineStr">
        <is>
          <t xml:space="preserve">Referencia del porcentaje</t>
        </is>
      </c>
      <c r="E2" s="2" t="inlineStr">
        <is>
          <t xml:space="preserve">Cantidad (g)</t>
        </is>
      </c>
    </row>
    <row r="3">
      <c r="A3" s="0" t="inlineStr">
        <is>
          <t xml:space="preserve">Poolish</t>
        </is>
      </c>
      <c r="B3" s="0" t="inlineStr">
        <is>
          <t xml:space="preserve">Harina de trigo</t>
        </is>
      </c>
      <c r="C3" s="0" t="inlineStr">
        <is>
          <t xml:space="preserve">flour</t>
        </is>
      </c>
      <c r="D3" s="0" t="inlineStr">
        <is>
          <t xml:space="preserve">20.0% s/harina total</t>
        </is>
      </c>
      <c r="E3" s="3">
        <v>814.0491585125038</v>
      </c>
    </row>
    <row r="4">
      <c r="A4" s="0" t="inlineStr">
        <is>
          <t xml:space="preserve">Poolish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0" t="inlineStr">
        <is>
          <t xml:space="preserve">100.0% s/harina elaboración</t>
        </is>
      </c>
      <c r="E4" s="3">
        <v>814.0491585125038</v>
      </c>
    </row>
    <row r="5">
      <c r="A5" s="0" t="inlineStr">
        <is>
          <t xml:space="preserve">TOTAL Poolish</t>
        </is>
      </c>
      <c r="E5" s="3">
        <v>1628.0983170250076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0" customWidth="1"/>
    <col min="3" max="3" width="20" customWidth="1"/>
    <col min="4" max="4" width="42" customWidth="1"/>
  </cols>
  <sheetData>
    <row r="1" ht="26" customHeight="1">
      <c r="A1" s="1" t="inlineStr">
        <is>
          <t xml:space="preserve">MASA FINAL DE LA BASE · TRAS PREELABORACIONES</t>
        </is>
      </c>
    </row>
    <row r="2">
      <c r="A2" s="2" t="inlineStr">
        <is>
          <t xml:space="preserve">Ingrediente</t>
        </is>
      </c>
      <c r="B2" s="2" t="inlineStr">
        <is>
          <t xml:space="preserve">Tipo</t>
        </is>
      </c>
      <c r="C2" s="2" t="inlineStr">
        <is>
          <t xml:space="preserve">Cantidad (g)</t>
        </is>
      </c>
      <c r="D2" s="2" t="inlineStr">
        <is>
          <t xml:space="preserve">Detalle</t>
        </is>
      </c>
    </row>
    <row r="3">
      <c r="A3" s="0" t="inlineStr">
        <is>
          <t xml:space="preserve">Harina de trigo</t>
        </is>
      </c>
      <c r="B3" s="0" t="inlineStr">
        <is>
          <t xml:space="preserve">flour</t>
        </is>
      </c>
      <c r="C3" s="3">
        <v>3256.196634050015</v>
      </c>
      <c r="D3" s="0" t="inlineStr">
        <is>
          <t xml:space="preserve">Preelaboración descontada: 814.0491585125038 g</t>
        </is>
      </c>
    </row>
    <row r="4">
      <c r="A4" s="0" t="inlineStr">
        <is>
          <t xml:space="preserve">Agua</t>
        </is>
      </c>
      <c r="B4" s="0" t="inlineStr">
        <is>
          <t xml:space="preserve">water</t>
        </is>
      </c>
      <c r="C4" s="3">
        <v>1831.610606653133</v>
      </c>
      <c r="D4" s="0" t="inlineStr">
        <is>
          <t xml:space="preserve">Preelaboración descontada: 814.0491585125038 g</t>
        </is>
      </c>
    </row>
    <row r="5">
      <c r="A5" s="0" t="inlineStr">
        <is>
          <t xml:space="preserve">Sal</t>
        </is>
      </c>
      <c r="B5" s="0" t="inlineStr">
        <is>
          <t xml:space="preserve">otro</t>
        </is>
      </c>
      <c r="C5" s="3">
        <v>81.40491585125037</v>
      </c>
    </row>
    <row r="6">
      <c r="A6" s="0" t="inlineStr">
        <is>
          <t xml:space="preserve">Levadura</t>
        </is>
      </c>
      <c r="B6" s="0" t="inlineStr">
        <is>
          <t xml:space="preserve">otro</t>
        </is>
      </c>
      <c r="C6" s="3">
        <v>40.70245792562518</v>
      </c>
    </row>
    <row r="7">
      <c r="A7" s="0" t="inlineStr">
        <is>
          <t xml:space="preserve">Poolish</t>
        </is>
      </c>
      <c r="B7" s="0" t="inlineStr">
        <is>
          <t xml:space="preserve">Elaboración previa</t>
        </is>
      </c>
      <c r="C7" s="3">
        <v>1628.0983170250076</v>
      </c>
      <c r="D7" s="0" t="inlineStr">
        <is>
          <t xml:space="preserve">Ya elaborada e incorporada</t>
        </is>
      </c>
    </row>
    <row r="8">
      <c r="A8" s="0" t="inlineStr">
        <is>
          <t xml:space="preserve">TOTAL MASA BASE</t>
        </is>
      </c>
      <c r="C8" s="3">
        <v>6838.012931505032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4" customWidth="1"/>
    <col min="2" max="2" width="9" customWidth="1"/>
    <col min="3" max="3" width="16" customWidth="1"/>
    <col min="4" max="4" width="39" customWidth="1"/>
    <col min="5" max="5" width="24" customWidth="1"/>
    <col min="6" max="6" width="20" customWidth="1"/>
    <col min="7" max="7" width="25" customWidth="1"/>
  </cols>
  <sheetData>
    <row r="1" ht="26" customHeight="1">
      <c r="A1" s="1" t="inlineStr">
        <is>
          <t xml:space="preserve">REPARTO Y ADICIONES POR VARIANTE</t>
        </is>
      </c>
    </row>
    <row r="2">
      <c r="A2" s="2" t="inlineStr">
        <is>
          <t xml:space="preserve">Variante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Componente</t>
        </is>
      </c>
      <c r="E2" s="2" t="inlineStr">
        <is>
          <t xml:space="preserve">Porcentaje añadido (%)</t>
        </is>
      </c>
      <c r="F2" s="2" t="inlineStr">
        <is>
          <t xml:space="preserve">Peso (g)</t>
        </is>
      </c>
      <c r="G2" s="2" t="inlineStr">
        <is>
          <t xml:space="preserve">Masa final variante (g)</t>
        </is>
      </c>
    </row>
    <row r="3">
      <c r="A3" s="0" t="inlineStr">
        <is>
          <t xml:space="preserve">Hogaza blanca</t>
        </is>
      </c>
      <c r="B3" s="3">
        <v>2</v>
      </c>
      <c r="C3" s="3">
        <v>1000</v>
      </c>
      <c r="D3" s="0" t="inlineStr">
        <is>
          <t xml:space="preserve">Masa base (Masa base de trigo blanco)</t>
        </is>
      </c>
      <c r="F3" s="3">
        <v>1942.1965317919073</v>
      </c>
      <c r="G3" s="3">
        <v>2000</v>
      </c>
    </row>
    <row r="4">
      <c r="A4" s="0" t="inlineStr">
        <is>
          <t xml:space="preserve">Hogaza blanca</t>
        </is>
      </c>
      <c r="B4" s="3">
        <v>2</v>
      </c>
      <c r="C4" s="3">
        <v>1000</v>
      </c>
      <c r="D4" s="0" t="inlineStr">
        <is>
          <t xml:space="preserve">Agua</t>
        </is>
      </c>
      <c r="E4" s="3">
        <v>5</v>
      </c>
      <c r="F4" s="3">
        <v>57.803468208092475</v>
      </c>
      <c r="G4" s="3">
        <v>2000</v>
      </c>
    </row>
    <row r="5">
      <c r="A5" s="0" t="inlineStr">
        <is>
          <t xml:space="preserve">Chapata</t>
        </is>
      </c>
      <c r="B5" s="3">
        <v>2</v>
      </c>
      <c r="C5" s="3">
        <v>700</v>
      </c>
      <c r="D5" s="0" t="inlineStr">
        <is>
          <t xml:space="preserve">Masa base (Masa base de trigo blanco)</t>
        </is>
      </c>
      <c r="F5" s="3">
        <v>1321.3483146067415</v>
      </c>
      <c r="G5" s="3">
        <v>1400</v>
      </c>
    </row>
    <row r="6">
      <c r="A6" s="0" t="inlineStr">
        <is>
          <t xml:space="preserve">Chapata</t>
        </is>
      </c>
      <c r="B6" s="3">
        <v>2</v>
      </c>
      <c r="C6" s="3">
        <v>700</v>
      </c>
      <c r="D6" s="0" t="inlineStr">
        <is>
          <t xml:space="preserve">Agua</t>
        </is>
      </c>
      <c r="E6" s="3">
        <v>10</v>
      </c>
      <c r="F6" s="3">
        <v>78.65168539325842</v>
      </c>
      <c r="G6" s="3">
        <v>1400</v>
      </c>
    </row>
    <row r="7">
      <c r="A7" s="0" t="inlineStr">
        <is>
          <t xml:space="preserve">Pan de semillas</t>
        </is>
      </c>
      <c r="B7" s="3">
        <v>4</v>
      </c>
      <c r="C7" s="3">
        <v>1000</v>
      </c>
      <c r="D7" s="0" t="inlineStr">
        <is>
          <t xml:space="preserve">Masa base (Masa base de trigo blanco)</t>
        </is>
      </c>
      <c r="F7" s="3">
        <v>3574.468085106383</v>
      </c>
      <c r="G7" s="3">
        <v>4000</v>
      </c>
    </row>
    <row r="8">
      <c r="A8" s="0" t="inlineStr">
        <is>
          <t xml:space="preserve">Pan de semillas</t>
        </is>
      </c>
      <c r="B8" s="3">
        <v>4</v>
      </c>
      <c r="C8" s="3">
        <v>1000</v>
      </c>
      <c r="D8" s="0" t="inlineStr">
        <is>
          <t xml:space="preserve">Semillas</t>
        </is>
      </c>
      <c r="E8" s="3">
        <v>20</v>
      </c>
      <c r="F8" s="3">
        <v>425.531914893617</v>
      </c>
      <c r="G8" s="3">
        <v>4000</v>
      </c>
    </row>
    <row r="9">
      <c r="A9" s="0" t="inlineStr">
        <is>
          <t xml:space="preserve">MASA BASE EXTRA SIN ASIGNAR</t>
        </is>
      </c>
      <c r="D9" s="0" t="inlineStr">
        <is>
          <t xml:space="preserve">Masa base</t>
        </is>
      </c>
      <c r="F9" s="3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3" customWidth="1"/>
    <col min="2" max="2" width="17" customWidth="1"/>
    <col min="3" max="3" width="9" customWidth="1"/>
    <col min="4" max="4" width="16" customWidth="1"/>
    <col min="5" max="5" width="20" customWidth="1"/>
    <col min="6" max="6" width="20" customWidth="1"/>
  </cols>
  <sheetData>
    <row r="1" ht="26" customHeight="1">
      <c r="A1" s="1" t="inlineStr">
        <is>
          <t xml:space="preserve">FÓRMULAS COMPLETAS DE LOS PANES</t>
        </is>
      </c>
    </row>
    <row r="2">
      <c r="A2" s="2" t="inlineStr">
        <is>
          <t xml:space="preserve">Variante</t>
        </is>
      </c>
      <c r="B2" s="2" t="inlineStr">
        <is>
          <t xml:space="preserve">Ingrediente</t>
        </is>
      </c>
      <c r="C2" s="2" t="inlineStr">
        <is>
          <t xml:space="preserve">Tipo</t>
        </is>
      </c>
      <c r="D2" s="2" t="inlineStr">
        <is>
          <t xml:space="preserve">Porcentaje (%)</t>
        </is>
      </c>
      <c r="E2" s="2" t="inlineStr">
        <is>
          <t xml:space="preserve">Cantidad (g)</t>
        </is>
      </c>
      <c r="F2" s="2" t="inlineStr">
        <is>
          <t xml:space="preserve">Procedencia</t>
        </is>
      </c>
    </row>
    <row r="3">
      <c r="A3" s="0" t="inlineStr">
        <is>
          <t xml:space="preserve">Hogaza blanca</t>
        </is>
      </c>
      <c r="B3" s="0" t="inlineStr">
        <is>
          <t xml:space="preserve">Harina de trigo</t>
        </is>
      </c>
      <c r="C3" s="0" t="inlineStr">
        <is>
          <t xml:space="preserve">flour</t>
        </is>
      </c>
      <c r="D3" s="3">
        <v>100</v>
      </c>
      <c r="E3" s="3">
        <v>1156.0693641618498</v>
      </c>
      <c r="F3" s="0" t="inlineStr">
        <is>
          <t xml:space="preserve">Masa base</t>
        </is>
      </c>
    </row>
    <row r="4">
      <c r="A4" s="0" t="inlineStr">
        <is>
          <t xml:space="preserve">Hogaza blanca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70</v>
      </c>
      <c r="E4" s="3">
        <v>809.2485549132948</v>
      </c>
      <c r="F4" s="0" t="inlineStr">
        <is>
          <t xml:space="preserve">Heredado + adición</t>
        </is>
      </c>
    </row>
    <row r="5">
      <c r="A5" s="0" t="inlineStr">
        <is>
          <t xml:space="preserve">Hogaza blanca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23.121387283236995</v>
      </c>
      <c r="F5" s="0" t="inlineStr">
        <is>
          <t xml:space="preserve">Masa base</t>
        </is>
      </c>
    </row>
    <row r="6">
      <c r="A6" s="0" t="inlineStr">
        <is>
          <t xml:space="preserve">Hogaza blanca</t>
        </is>
      </c>
      <c r="B6" s="0" t="inlineStr">
        <is>
          <t xml:space="preserve">Levadura</t>
        </is>
      </c>
      <c r="C6" s="0" t="inlineStr">
        <is>
          <t xml:space="preserve">otro</t>
        </is>
      </c>
      <c r="D6" s="3">
        <v>1</v>
      </c>
      <c r="E6" s="3">
        <v>11.560693641618498</v>
      </c>
      <c r="F6" s="0" t="inlineStr">
        <is>
          <t xml:space="preserve">Masa base</t>
        </is>
      </c>
    </row>
    <row r="7">
      <c r="A7" s="0" t="inlineStr">
        <is>
          <t xml:space="preserve">Chapata</t>
        </is>
      </c>
      <c r="B7" s="0" t="inlineStr">
        <is>
          <t xml:space="preserve">Harina de trigo</t>
        </is>
      </c>
      <c r="C7" s="0" t="inlineStr">
        <is>
          <t xml:space="preserve">flour</t>
        </is>
      </c>
      <c r="D7" s="3">
        <v>100</v>
      </c>
      <c r="E7" s="3">
        <v>786.5168539325842</v>
      </c>
      <c r="F7" s="0" t="inlineStr">
        <is>
          <t xml:space="preserve">Masa base</t>
        </is>
      </c>
    </row>
    <row r="8">
      <c r="A8" s="0" t="inlineStr">
        <is>
          <t xml:space="preserve">Chapata</t>
        </is>
      </c>
      <c r="B8" s="0" t="inlineStr">
        <is>
          <t xml:space="preserve">Agua</t>
        </is>
      </c>
      <c r="C8" s="0" t="inlineStr">
        <is>
          <t xml:space="preserve">water</t>
        </is>
      </c>
      <c r="D8" s="3">
        <v>75</v>
      </c>
      <c r="E8" s="3">
        <v>589.8876404494382</v>
      </c>
      <c r="F8" s="0" t="inlineStr">
        <is>
          <t xml:space="preserve">Heredado + adición</t>
        </is>
      </c>
    </row>
    <row r="9">
      <c r="A9" s="0" t="inlineStr">
        <is>
          <t xml:space="preserve">Chapata</t>
        </is>
      </c>
      <c r="B9" s="0" t="inlineStr">
        <is>
          <t xml:space="preserve">Sal</t>
        </is>
      </c>
      <c r="C9" s="0" t="inlineStr">
        <is>
          <t xml:space="preserve">otro</t>
        </is>
      </c>
      <c r="D9" s="3">
        <v>2</v>
      </c>
      <c r="E9" s="3">
        <v>15.730337078651685</v>
      </c>
      <c r="F9" s="0" t="inlineStr">
        <is>
          <t xml:space="preserve">Masa base</t>
        </is>
      </c>
    </row>
    <row r="10">
      <c r="A10" s="0" t="inlineStr">
        <is>
          <t xml:space="preserve">Chapata</t>
        </is>
      </c>
      <c r="B10" s="0" t="inlineStr">
        <is>
          <t xml:space="preserve">Levadura</t>
        </is>
      </c>
      <c r="C10" s="0" t="inlineStr">
        <is>
          <t xml:space="preserve">otro</t>
        </is>
      </c>
      <c r="D10" s="3">
        <v>1</v>
      </c>
      <c r="E10" s="3">
        <v>7.865168539325842</v>
      </c>
      <c r="F10" s="0" t="inlineStr">
        <is>
          <t xml:space="preserve">Masa base</t>
        </is>
      </c>
    </row>
    <row r="11">
      <c r="A11" s="0" t="inlineStr">
        <is>
          <t xml:space="preserve">Pan de semillas</t>
        </is>
      </c>
      <c r="B11" s="0" t="inlineStr">
        <is>
          <t xml:space="preserve">Harina de trigo</t>
        </is>
      </c>
      <c r="C11" s="0" t="inlineStr">
        <is>
          <t xml:space="preserve">flour</t>
        </is>
      </c>
      <c r="D11" s="3">
        <v>100</v>
      </c>
      <c r="E11" s="3">
        <v>2127.6595744680853</v>
      </c>
      <c r="F11" s="0" t="inlineStr">
        <is>
          <t xml:space="preserve">Masa base</t>
        </is>
      </c>
    </row>
    <row r="12">
      <c r="A12" s="0" t="inlineStr">
        <is>
          <t xml:space="preserve">Pan de semillas</t>
        </is>
      </c>
      <c r="B12" s="0" t="inlineStr">
        <is>
          <t xml:space="preserve">Agua</t>
        </is>
      </c>
      <c r="C12" s="0" t="inlineStr">
        <is>
          <t xml:space="preserve">water</t>
        </is>
      </c>
      <c r="D12" s="3">
        <v>65</v>
      </c>
      <c r="E12" s="3">
        <v>1382.9787234042556</v>
      </c>
      <c r="F12" s="0" t="inlineStr">
        <is>
          <t xml:space="preserve">Masa base</t>
        </is>
      </c>
    </row>
    <row r="13">
      <c r="A13" s="0" t="inlineStr">
        <is>
          <t xml:space="preserve">Pan de semillas</t>
        </is>
      </c>
      <c r="B13" s="0" t="inlineStr">
        <is>
          <t xml:space="preserve">Sal</t>
        </is>
      </c>
      <c r="C13" s="0" t="inlineStr">
        <is>
          <t xml:space="preserve">otro</t>
        </is>
      </c>
      <c r="D13" s="3">
        <v>2</v>
      </c>
      <c r="E13" s="3">
        <v>42.55319148936171</v>
      </c>
      <c r="F13" s="0" t="inlineStr">
        <is>
          <t xml:space="preserve">Masa base</t>
        </is>
      </c>
    </row>
    <row r="14">
      <c r="A14" s="0" t="inlineStr">
        <is>
          <t xml:space="preserve">Pan de semillas</t>
        </is>
      </c>
      <c r="B14" s="0" t="inlineStr">
        <is>
          <t xml:space="preserve">Levadura</t>
        </is>
      </c>
      <c r="C14" s="0" t="inlineStr">
        <is>
          <t xml:space="preserve">otro</t>
        </is>
      </c>
      <c r="D14" s="3">
        <v>1</v>
      </c>
      <c r="E14" s="3">
        <v>21.276595744680854</v>
      </c>
      <c r="F14" s="0" t="inlineStr">
        <is>
          <t xml:space="preserve">Masa base</t>
        </is>
      </c>
    </row>
    <row r="15">
      <c r="A15" s="0" t="inlineStr">
        <is>
          <t xml:space="preserve">Pan de semillas</t>
        </is>
      </c>
      <c r="B15" s="0" t="inlineStr">
        <is>
          <t xml:space="preserve">Semillas</t>
        </is>
      </c>
      <c r="C15" s="0" t="inlineStr">
        <is>
          <t xml:space="preserve">otro</t>
        </is>
      </c>
      <c r="D15" s="3">
        <v>20</v>
      </c>
      <c r="E15" s="3">
        <v>425.53191489361706</v>
      </c>
      <c r="F15" s="0" t="inlineStr">
        <is>
          <t xml:space="preserve">Adición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0" customWidth="1"/>
    <col min="3" max="3" width="22" customWidth="1"/>
  </cols>
  <sheetData>
    <row r="1" ht="26" customHeight="1">
      <c r="A1" s="1" t="inlineStr">
        <is>
          <t xml:space="preserve">INGREDIENTES TOTALES PARA LA PRODUCCIÓN (INCLUIDO EXCEDENTE DE BASE)</t>
        </is>
      </c>
    </row>
    <row r="2">
      <c r="A2" s="2" t="inlineStr">
        <is>
          <t xml:space="preserve">Ingrediente</t>
        </is>
      </c>
      <c r="B2" s="2" t="inlineStr">
        <is>
          <t xml:space="preserve">Cantidad (g)</t>
        </is>
      </c>
      <c r="C2" s="2" t="inlineStr">
        <is>
          <t xml:space="preserve">Cantidad (kg)</t>
        </is>
      </c>
    </row>
    <row r="3">
      <c r="A3" s="0" t="inlineStr">
        <is>
          <t xml:space="preserve">Harina de trigo</t>
        </is>
      </c>
      <c r="B3" s="3">
        <v>4070.2457925625185</v>
      </c>
      <c r="C3" s="3">
        <v>4.070245792562519</v>
      </c>
    </row>
    <row r="4">
      <c r="A4" s="0" t="inlineStr">
        <is>
          <t xml:space="preserve">Agua</t>
        </is>
      </c>
      <c r="B4" s="3">
        <v>2782.1149187669876</v>
      </c>
      <c r="C4" s="3">
        <v>2.7821149187669874</v>
      </c>
    </row>
    <row r="5">
      <c r="A5" s="0" t="inlineStr">
        <is>
          <t xml:space="preserve">Sal</t>
        </is>
      </c>
      <c r="B5" s="3">
        <v>81.40491585125037</v>
      </c>
      <c r="C5" s="3">
        <v>0.08140491585125037</v>
      </c>
    </row>
    <row r="6">
      <c r="A6" s="0" t="inlineStr">
        <is>
          <t xml:space="preserve">Levadura</t>
        </is>
      </c>
      <c r="B6" s="3">
        <v>40.70245792562518</v>
      </c>
      <c r="C6" s="3">
        <v>0.040702457925625185</v>
      </c>
    </row>
    <row r="7">
      <c r="A7" s="0" t="inlineStr">
        <is>
          <t xml:space="preserve">Semillas</t>
        </is>
      </c>
      <c r="B7" s="3">
        <v>425.531914893617</v>
      </c>
      <c r="C7" s="3">
        <v>0.425531914893617</v>
      </c>
    </row>
  </sheetData>
</worksheet>
</file>